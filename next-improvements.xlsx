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Improvements" sheetId="2" state="visible" r:id="rId2"/>
    <sheet name="Tasks" sheetId="3" state="visible" r:id="rId3"/>
  </sheets>
  <definedNames>
    <definedName name="_xlnm._FilterDatabase" localSheetId="2" hidden="1">'Tasks'!$A$4:$F$28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9" fontId="7" fillId="0" borderId="1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9" fontId="7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9" fontId="7" fillId="0" borderId="1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general" vertical="top" wrapText="1"/>
    </xf>
    <xf numFmtId="0" fontId="10" fillId="4" borderId="2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9" fontId="7" fillId="0" borderId="1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general" vertical="top" wrapText="1"/>
    </xf>
    <xf numFmtId="9" fontId="10" fillId="0" borderId="2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5" min="1" max="1"/>
    <col width="52" customWidth="1" style="15" min="2" max="2"/>
    <col width="14" customWidth="1" style="15" min="3" max="3"/>
    <col width="52" customWidth="1" style="15" min="4" max="4"/>
    <col width="30" customWidth="1" style="15" min="5" max="5"/>
  </cols>
  <sheetData>
    <row r="1" ht="17.35" customHeight="1" s="16">
      <c r="A1" s="17" t="inlineStr">
        <is>
          <t>Next big improvements — summary</t>
        </is>
      </c>
    </row>
    <row r="2" ht="15" customHeight="1" s="16">
      <c r="A2" s="18" t="inlineStr">
        <is>
          <t>Calculated from the Improvements and Tasks sheets.</t>
        </is>
      </c>
    </row>
    <row r="4" ht="15" customHeight="1" s="16">
      <c r="A4" s="19" t="inlineStr">
        <is>
          <t>Improvements</t>
        </is>
      </c>
      <c r="B4" s="20">
        <f>COUNTA(Improvements!$A$5:$A$17)</f>
        <v/>
      </c>
    </row>
    <row r="5" ht="15" customHeight="1" s="16">
      <c r="A5" s="19" t="inlineStr">
        <is>
          <t>Improvements done</t>
        </is>
      </c>
      <c r="B5" s="20">
        <f>COUNTIF(Improvements!$K$5:$K$17,"Done")</f>
        <v/>
      </c>
    </row>
    <row r="6" ht="15" customHeight="1" s="16">
      <c r="A6" s="19" t="inlineStr">
        <is>
          <t>Tasks</t>
        </is>
      </c>
      <c r="B6" s="20">
        <f>COUNTA(Tasks!$C$5:$C$53)</f>
        <v/>
      </c>
    </row>
    <row r="7" ht="15" customHeight="1" s="16">
      <c r="A7" s="19" t="inlineStr">
        <is>
          <t>Tasks done</t>
        </is>
      </c>
      <c r="B7" s="20">
        <f>COUNTIF(Tasks!$D$5:$D$53,"Done")</f>
        <v/>
      </c>
    </row>
    <row r="8" ht="15" customHeight="1" s="16">
      <c r="A8" s="19" t="inlineStr">
        <is>
          <t>Tasks blocked</t>
        </is>
      </c>
      <c r="B8" s="20">
        <f>COUNTIF(Tasks!$D$5:$D$53,"Blocked")</f>
        <v/>
      </c>
    </row>
    <row r="9" ht="15" customHeight="1" s="16">
      <c r="A9" s="19" t="inlineStr">
        <is>
          <t>Overall progress</t>
        </is>
      </c>
      <c r="B9" s="21">
        <f>IF(B6=0,0,B7/B6)</f>
        <v/>
      </c>
    </row>
    <row r="11" ht="15" customHeight="1" s="16">
      <c r="A11" s="22" t="inlineStr">
        <is>
          <t>Open decisions</t>
        </is>
      </c>
    </row>
    <row r="12" ht="15" customHeight="1" s="16">
      <c r="A12" s="23" t="inlineStr">
        <is>
          <t>ID</t>
        </is>
      </c>
      <c r="B12" s="23" t="inlineStr">
        <is>
          <t>Decision</t>
        </is>
      </c>
      <c r="C12" s="23" t="inlineStr">
        <is>
          <t>Blocks item #</t>
        </is>
      </c>
      <c r="D12" s="23" t="inlineStr">
        <is>
          <t>Context</t>
        </is>
      </c>
      <c r="E12" s="23" t="inlineStr">
        <is>
          <t>Your answer</t>
        </is>
      </c>
    </row>
    <row r="13" ht="15" customHeight="1" s="16">
      <c r="A13" s="24" t="inlineStr">
        <is>
          <t>D1</t>
        </is>
      </c>
      <c r="B13" s="25" t="inlineStr">
        <is>
          <t>Who may release or forfeit a deposit?</t>
        </is>
      </c>
      <c r="C13" s="24" t="inlineStr">
        <is>
          <t>2</t>
        </is>
      </c>
      <c r="D13" s="25" t="inlineStr">
        <is>
          <t>Needs your ruling. Item 2 cannot start until this is decided.</t>
        </is>
      </c>
      <c r="E13" s="26" t="inlineStr">
        <is>
          <t>Ruled: Owner · Admin · Manager · Accounts (M+ · Accounts, per PERMISSIONS.md §4.6 deposit.release)</t>
        </is>
      </c>
    </row>
    <row r="14" ht="23.85" customHeight="1" s="16">
      <c r="A14" s="24" t="inlineStr">
        <is>
          <t>D2</t>
        </is>
      </c>
      <c r="B14" s="25" t="inlineStr">
        <is>
          <t>Does a forfeit need a written reason, like the zero-value close override?</t>
        </is>
      </c>
      <c r="C14" s="24" t="inlineStr">
        <is>
          <t>2</t>
        </is>
      </c>
      <c r="D14" s="25" t="inlineStr">
        <is>
          <t>Needs your ruling. Item 2 cannot start until this is decided.</t>
        </is>
      </c>
      <c r="E14" s="26" t="inlineStr">
        <is>
          <t>Ruled: Yes, mandatory minimum 10 characters for any deposit forfeiture or penalty application</t>
        </is>
      </c>
    </row>
    <row r="15" ht="23.85" customHeight="1" s="16">
      <c r="A15" s="24" t="inlineStr">
        <is>
          <t>D3</t>
        </is>
      </c>
      <c r="B15" s="25" t="inlineStr">
        <is>
          <t>Which improvement should start first?</t>
        </is>
      </c>
      <c r="C15" s="24" t="inlineStr">
        <is>
          <t>1</t>
        </is>
      </c>
      <c r="D15" s="25" t="inlineStr">
        <is>
          <t>Recommended: item 1, since it must land before the migrations go live. Item 2 follows once D1 and D2 are ruled.</t>
        </is>
      </c>
      <c r="E15" s="26" t="inlineStr">
        <is>
          <t>Ruled: Item 1 (Security holes) and Item 2 (Deposits) executed first</t>
        </is>
      </c>
    </row>
    <row r="16">
      <c r="A16" s="27" t="inlineStr">
        <is>
          <t>D4</t>
        </is>
      </c>
      <c r="B16" s="28" t="inlineStr">
        <is>
          <t>Who coordinates the 5-person usability test (section 10.5)?</t>
        </is>
      </c>
      <c r="C16" s="27" t="inlineStr">
        <is>
          <t>8 / Floor loop</t>
        </is>
      </c>
      <c r="D16" s="28" t="inlineStr">
        <is>
          <t>Needs Babin staff time scheduled on floor mobile devices; no code can replace it.</t>
        </is>
      </c>
      <c r="E16" s="29" t="n"/>
    </row>
    <row r="17" ht="15" customHeight="1" s="16"/>
    <row r="18" ht="15" customHeight="1" s="16">
      <c r="A18" s="22" t="inlineStr">
        <is>
          <t>Legend</t>
        </is>
      </c>
    </row>
    <row r="19" ht="15" customHeight="1" s="16">
      <c r="A19" s="30" t="inlineStr">
        <is>
          <t>Yellow cell</t>
        </is>
      </c>
      <c r="B19" s="31" t="inlineStr">
        <is>
          <t>You fill this in (Status, Owner, Notes, decision answers).</t>
        </is>
      </c>
    </row>
    <row r="20">
      <c r="A20" s="31" t="inlineStr">
        <is>
          <t>Size</t>
        </is>
      </c>
      <c r="B20" s="31" t="inlineStr">
        <is>
          <t>S = small, M = medium. Rough estimates from the audit, not day counts.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10" customWidth="1" style="15" min="2" max="2"/>
    <col width="34" customWidth="1" style="15" min="3" max="3"/>
    <col width="46" customWidth="1" style="15" min="4" max="4"/>
    <col width="7" customWidth="1" style="15" min="5" max="5"/>
    <col width="38" customWidth="1" style="15" min="6" max="6"/>
    <col width="46" customWidth="1" style="15" min="7" max="7"/>
    <col width="8" customWidth="1" style="15" min="8" max="8"/>
    <col width="10" customWidth="1" style="15" min="9" max="10"/>
    <col width="13" customWidth="1" style="15" min="11" max="11"/>
  </cols>
  <sheetData>
    <row r="1" ht="17.35" customHeight="1" s="16">
      <c r="A1" s="17" t="inlineStr">
        <is>
          <t>Next big improvements — Babin Rentals OS</t>
        </is>
      </c>
    </row>
    <row r="2" ht="15" customHeight="1" s="16">
      <c r="A2" s="18" t="inlineStr">
        <is>
          <t>Source: audit of 3 Oct 2026. Effort sizes (S small, M medium) are rough estimates, not day counts. Status and Progress are calculated from the Tasks sheet; edit statuses there.</t>
        </is>
      </c>
    </row>
    <row r="4" ht="23.85" customHeight="1" s="16">
      <c r="A4" s="23" t="inlineStr">
        <is>
          <t>#</t>
        </is>
      </c>
      <c r="B4" s="23" t="inlineStr">
        <is>
          <t>Order</t>
        </is>
      </c>
      <c r="C4" s="23" t="inlineStr">
        <is>
          <t>Improvement</t>
        </is>
      </c>
      <c r="D4" s="23" t="inlineStr">
        <is>
          <t>Why it matters</t>
        </is>
      </c>
      <c r="E4" s="23" t="inlineStr">
        <is>
          <t>Size</t>
        </is>
      </c>
      <c r="F4" s="23" t="inlineStr">
        <is>
          <t>Depends on / blocker</t>
        </is>
      </c>
      <c r="G4" s="23" t="inlineStr">
        <is>
          <t>Done when</t>
        </is>
      </c>
      <c r="H4" s="23" t="inlineStr">
        <is>
          <t>Tasks</t>
        </is>
      </c>
      <c r="I4" s="23" t="inlineStr">
        <is>
          <t>Tasks done</t>
        </is>
      </c>
      <c r="J4" s="23" t="inlineStr">
        <is>
          <t>Progress</t>
        </is>
      </c>
      <c r="K4" s="23" t="inlineStr">
        <is>
          <t>Status</t>
        </is>
      </c>
    </row>
    <row r="5" ht="35.05" customHeight="1" s="16">
      <c r="A5" s="24" t="n">
        <v>1</v>
      </c>
      <c r="B5" s="24" t="inlineStr">
        <is>
          <t>1</t>
        </is>
      </c>
      <c r="C5" s="32" t="inlineStr">
        <is>
          <t>Close the security holes (D1–D7)</t>
        </is>
      </c>
      <c r="D5" s="25" t="inlineStr">
        <is>
          <t>Anonymous users can read the audit log and cancel bookings. Applying migrations 0125–0147 would open audit_logs.</t>
        </is>
      </c>
      <c r="E5" s="24" t="inlineStr">
        <is>
          <t>S</t>
        </is>
      </c>
      <c r="F5" s="25" t="inlineStr">
        <is>
          <t>Must land before the migrations go live.</t>
        </is>
      </c>
      <c r="G5" s="25" t="inlineStr">
        <is>
          <t>Write one migration. Done when anon can read and call nothing sensitive.</t>
        </is>
      </c>
      <c r="H5" s="24">
        <f>COUNTIF(Tasks!$A$5:$A$53,A5)</f>
        <v/>
      </c>
      <c r="I5" s="24">
        <f>COUNTIFS(Tasks!$A$5:$A$53,A5,Tasks!$D$5:$D$53,"Done")</f>
        <v/>
      </c>
      <c r="J5" s="33">
        <f>IF(H5=0,0,I5/H5)</f>
        <v/>
      </c>
      <c r="K5" s="24">
        <f>IF(J5=1,"Done",IF(J5&gt;0,"In progress","Not started"))</f>
        <v/>
      </c>
    </row>
    <row r="6" ht="23.85" customHeight="1" s="16">
      <c r="A6" s="24" t="n">
        <v>2</v>
      </c>
      <c r="B6" s="24" t="inlineStr">
        <is>
          <t>2</t>
        </is>
      </c>
      <c r="C6" s="32" t="inlineStr">
        <is>
          <t>Deposit settlement, so rentals can finish</t>
        </is>
      </c>
      <c r="D6" s="25" t="inlineStr">
        <is>
          <t>No screen can return or apply a deposit, so most rentals can never reach Closed.</t>
        </is>
      </c>
      <c r="E6" s="24" t="inlineStr">
        <is>
          <t>M</t>
        </is>
      </c>
      <c r="F6" s="25" t="inlineStr">
        <is>
          <t>Needs your ruling on who may release or forfeit a deposit (see Summary).</t>
        </is>
      </c>
      <c r="G6" s="25" t="inlineStr">
        <is>
          <t>Done when a rental goes Return → Reset → deposit → Close through the app only.</t>
        </is>
      </c>
      <c r="H6" s="24">
        <f>COUNTIF(Tasks!$A$5:$A$53,A6)</f>
        <v/>
      </c>
      <c r="I6" s="24">
        <f>COUNTIFS(Tasks!$A$5:$A$53,A6,Tasks!$D$5:$D$53,"Done")</f>
        <v/>
      </c>
      <c r="J6" s="33">
        <f>IF(H6=0,0,I6/H6)</f>
        <v/>
      </c>
      <c r="K6" s="24">
        <f>IF(J6=1,"Done",IF(J6&gt;0,"In progress","Not started"))</f>
        <v/>
      </c>
    </row>
    <row r="7" ht="23.85" customHeight="1" s="16">
      <c r="A7" s="24" t="n">
        <v>3</v>
      </c>
      <c r="B7" s="24" t="inlineStr">
        <is>
          <t>3</t>
        </is>
      </c>
      <c r="C7" s="32" t="inlineStr">
        <is>
          <t>Live cutover safety</t>
        </is>
      </c>
      <c r="D7" s="25" t="inlineStr">
        <is>
          <t>The app is ahead of the live database.</t>
        </is>
      </c>
      <c r="E7" s="24" t="inlineStr">
        <is>
          <t>M</t>
        </is>
      </c>
      <c r="F7" s="25" t="inlineStr">
        <is>
          <t>Follows item 1: the security migration must land before the migrations go live.</t>
        </is>
      </c>
      <c r="G7" s="25" t="inlineStr">
        <is>
          <t>Staging dry run passes and one smoke test per role is green before touching live.</t>
        </is>
      </c>
      <c r="H7" s="24">
        <f>COUNTIF(Tasks!$A$5:$A$53,A7)</f>
        <v/>
      </c>
      <c r="I7" s="24">
        <f>COUNTIFS(Tasks!$A$5:$A$53,A7,Tasks!$D$5:$D$53,"Done")</f>
        <v/>
      </c>
      <c r="J7" s="33">
        <f>IF(H7=0,0,I7/H7)</f>
        <v/>
      </c>
      <c r="K7" s="24">
        <f>IF(J7=1,"Done",IF(J7&gt;0,"In progress","Not started"))</f>
        <v/>
      </c>
    </row>
    <row r="8" ht="23.85" customHeight="1" s="16">
      <c r="A8" s="24" t="n">
        <v>4</v>
      </c>
      <c r="B8" s="24" t="inlineStr">
        <is>
          <t>4</t>
        </is>
      </c>
      <c r="C8" s="32" t="inlineStr">
        <is>
          <t>One "something changed" signal, so screens stay fresh</t>
        </is>
      </c>
      <c r="D8" s="25" t="inlineStr">
        <is>
          <t>Lists go stale after a floor job and after Close.</t>
        </is>
      </c>
      <c r="E8" s="24" t="inlineStr">
        <is>
          <t>S–M</t>
        </is>
      </c>
      <c r="F8" s="25" t="inlineStr">
        <is>
          <t>—</t>
        </is>
      </c>
      <c r="G8" s="25" t="inlineStr">
        <is>
          <t>Done when a Return finished on one device shows on the other within seconds.</t>
        </is>
      </c>
      <c r="H8" s="24">
        <f>COUNTIF(Tasks!$A$5:$A$53,A8)</f>
        <v/>
      </c>
      <c r="I8" s="24">
        <f>COUNTIFS(Tasks!$A$5:$A$53,A8,Tasks!$D$5:$D$53,"Done")</f>
        <v/>
      </c>
      <c r="J8" s="33">
        <f>IF(H8=0,0,I8/H8)</f>
        <v/>
      </c>
      <c r="K8" s="24">
        <f>IF(J8=1,"Done",IF(J8&gt;0,"In progress","Not started"))</f>
        <v/>
      </c>
    </row>
    <row r="9" ht="23.85" customHeight="1" s="16">
      <c r="A9" s="24" t="n">
        <v>5</v>
      </c>
      <c r="B9" s="24" t="inlineStr">
        <is>
          <t>5</t>
        </is>
      </c>
      <c r="C9" s="32" t="inlineStr">
        <is>
          <t>One page shell, enforced by lint</t>
        </is>
      </c>
      <c r="D9" s="25" t="inlineStr">
        <is>
          <t>Titles jump between pages, and button colour and size drift.</t>
        </is>
      </c>
      <c r="E9" s="24" t="inlineStr">
        <is>
          <t>M</t>
        </is>
      </c>
      <c r="F9" s="25" t="inlineStr">
        <is>
          <t>—</t>
        </is>
      </c>
      <c r="G9" s="25" t="inlineStr">
        <is>
          <t>Done when every page uses one header and lint fails on hardcoded hex or controls under 44 px.</t>
        </is>
      </c>
      <c r="H9" s="24">
        <f>COUNTIF(Tasks!$A$5:$A$53,A9)</f>
        <v/>
      </c>
      <c r="I9" s="24">
        <f>COUNTIFS(Tasks!$A$5:$A$53,A9,Tasks!$D$5:$D$53,"Done")</f>
        <v/>
      </c>
      <c r="J9" s="33">
        <f>IF(H9=0,0,I9/H9)</f>
        <v/>
      </c>
      <c r="K9" s="24">
        <f>IF(J9=1,"Done",IF(J9&gt;0,"In progress","Not started"))</f>
        <v/>
      </c>
    </row>
    <row r="10" ht="23.85" customHeight="1" s="16">
      <c r="A10" s="24" t="n">
        <v>6</v>
      </c>
      <c r="B10" s="24" t="inlineStr">
        <is>
          <t>6</t>
        </is>
      </c>
      <c r="C10" s="32" t="inlineStr">
        <is>
          <t>Real tests on realistic data</t>
        </is>
      </c>
      <c r="D10" s="25" t="inlineStr">
        <is>
          <t>The green gates miss the success paths where bugs are hiding.</t>
        </is>
      </c>
      <c r="E10" s="24" t="inlineStr">
        <is>
          <t>M</t>
        </is>
      </c>
      <c r="F10" s="25" t="inlineStr">
        <is>
          <t>—</t>
        </is>
      </c>
      <c r="G10" s="25" t="inlineStr">
        <is>
          <t>Done when the full floor loop runs in a browser test and the lifecycle test goes through the actions.</t>
        </is>
      </c>
      <c r="H10" s="24">
        <f>COUNTIF(Tasks!$A$5:$A$53,A10)</f>
        <v/>
      </c>
      <c r="I10" s="24">
        <f>COUNTIFS(Tasks!$A$5:$A$53,A10,Tasks!$D$5:$D$53,"Done")</f>
        <v/>
      </c>
      <c r="J10" s="33">
        <f>IF(H10=0,0,I10/H10)</f>
        <v/>
      </c>
      <c r="K10" s="24">
        <f>IF(J10=1,"Done",IF(J10&gt;0,"In progress","Not started"))</f>
        <v/>
      </c>
    </row>
    <row r="11" ht="23.85" customHeight="1" s="16">
      <c r="A11" s="24" t="n">
        <v>7</v>
      </c>
      <c r="B11" s="24" t="inlineStr">
        <is>
          <t>After 1–6</t>
        </is>
      </c>
      <c r="C11" s="32" t="inlineStr">
        <is>
          <t>Nepali catalogue</t>
        </is>
      </c>
      <c r="D11" s="25" t="inlineStr">
        <is>
          <t>Smaller item after the six above.</t>
        </is>
      </c>
      <c r="E11" s="24" t="inlineStr">
        <is>
          <t>—</t>
        </is>
      </c>
      <c r="F11" s="25" t="inlineStr">
        <is>
          <t>Needs a Nepali speaker to write the status and action terms first.</t>
        </is>
      </c>
      <c r="G11" s="25" t="inlineStr">
        <is>
          <t>Done when the Nepali status and action terms are written.</t>
        </is>
      </c>
      <c r="H11" s="24">
        <f>COUNTIF(Tasks!$A$5:$A$53,A11)</f>
        <v/>
      </c>
      <c r="I11" s="24">
        <f>COUNTIFS(Tasks!$A$5:$A$53,A11,Tasks!$D$5:$D$53,"Done")</f>
        <v/>
      </c>
      <c r="J11" s="33">
        <f>IF(H11=0,0,I11/H11)</f>
        <v/>
      </c>
      <c r="K11" s="24">
        <f>IF(J11=1,"Done",IF(J11&gt;0,"In progress","Not started"))</f>
        <v/>
      </c>
    </row>
    <row r="12">
      <c r="A12" s="27" t="n">
        <v>8</v>
      </c>
      <c r="B12" s="27" t="inlineStr">
        <is>
          <t>8</t>
        </is>
      </c>
      <c r="C12" s="34" t="inlineStr">
        <is>
          <t>Floor-touch and form fixes</t>
        </is>
      </c>
      <c r="D12" s="28" t="inlineStr">
        <is>
          <t>141 form fields have no accessible name; 82 controls &lt; 44 px; row actions use hardcoded colours; phone inputs lack phone keypad; 35 clickables keyboard-inaccessible.</t>
        </is>
      </c>
      <c r="E12" s="27" t="inlineStr">
        <is>
          <t>M</t>
        </is>
      </c>
      <c r="F12" s="28" t="inlineStr">
        <is>
          <t>—</t>
        </is>
      </c>
      <c r="G12" s="28" t="inlineStr">
        <is>
          <t>Done when a keyboard-only pass and a screen reader can complete New Rental and Record Payment; phone/number inputs open correct keypad; controls ≥ 44 px.</t>
        </is>
      </c>
      <c r="H12" s="27">
        <f>COUNTIF(Tasks!$A$5:$A$53,A12)</f>
        <v/>
      </c>
      <c r="I12" s="27">
        <f>COUNTIFS(Tasks!$A$5:$A$53,A12,Tasks!$D$5:$D$53,"Done")</f>
        <v/>
      </c>
      <c r="J12" s="35">
        <f>IF(H12=0,0,I12/H12)</f>
        <v/>
      </c>
      <c r="K12" s="27">
        <f>IF(J12=1,"Done",IF(J12&gt;0,"In progress","Not started"))</f>
        <v/>
      </c>
    </row>
    <row r="13">
      <c r="A13" s="27" t="n">
        <v>9</v>
      </c>
      <c r="B13" s="27" t="inlineStr">
        <is>
          <t>9</t>
        </is>
      </c>
      <c r="C13" s="34" t="inlineStr">
        <is>
          <t>Honest metrics and current docs</t>
        </is>
      </c>
      <c r="D13" s="28" t="inlineStr">
        <is>
          <t>Two CURRENT_STATE files disagree with each other and code; completion counter drifts (39·6·0·0 vs 42·3·0·0); coverage omits actions and modules.</t>
        </is>
      </c>
      <c r="E13" s="27" t="inlineStr">
        <is>
          <t>S</t>
        </is>
      </c>
      <c r="F13" s="28" t="inlineStr">
        <is>
          <t>—</t>
        </is>
      </c>
      <c r="G13" s="28" t="inlineStr">
        <is>
          <t>Done when CURRENT_STATE is unified and verified, completion runs test suite directly (or explicitly reports static), and coverage measures actions and modules.</t>
        </is>
      </c>
      <c r="H13" s="27">
        <f>COUNTIF(Tasks!$A$5:$A$53,A13)</f>
        <v/>
      </c>
      <c r="I13" s="27">
        <f>COUNTIFS(Tasks!$A$5:$A$53,A13,Tasks!$D$5:$D$53,"Done")</f>
        <v/>
      </c>
      <c r="J13" s="35">
        <f>IF(H13=0,0,I13/H13)</f>
        <v/>
      </c>
      <c r="K13" s="27">
        <f>IF(J13=1,"Done",IF(J13&gt;0,"In progress","Not started"))</f>
        <v/>
      </c>
    </row>
    <row r="14">
      <c r="A14" s="27" t="n">
        <v>10</v>
      </c>
      <c r="B14" s="27" t="inlineStr">
        <is>
          <t>10</t>
        </is>
      </c>
      <c r="C14" s="34" t="inlineStr">
        <is>
          <t>Migration hygiene, so the repo can rebuild the database</t>
        </is>
      </c>
      <c r="D14" s="28" t="inlineStr">
        <is>
          <t>Duplicate migration prefixes (0056 ×3, 0076 ×2); definer function missing pinned search_path; live DB has unmigrated seed data.</t>
        </is>
      </c>
      <c r="E14" s="27" t="inlineStr">
        <is>
          <t>M</t>
        </is>
      </c>
      <c r="F14" s="28" t="inlineStr">
        <is>
          <t>—</t>
        </is>
      </c>
      <c r="G14" s="28" t="inlineStr">
        <is>
          <t>Done when duplicate prefixes are resolved, search_path is pinned, and check:rebuild reproduces live schema from scratch.</t>
        </is>
      </c>
      <c r="H14" s="27">
        <f>COUNTIF(Tasks!$A$5:$A$53,A14)</f>
        <v/>
      </c>
      <c r="I14" s="27">
        <f>COUNTIFS(Tasks!$A$5:$A$53,A14,Tasks!$D$5:$D$53,"Done")</f>
        <v/>
      </c>
      <c r="J14" s="35">
        <f>IF(H14=0,0,I14/H14)</f>
        <v/>
      </c>
      <c r="K14" s="27">
        <f>IF(J14=1,"Done",IF(J14&gt;0,"In progress","Not started"))</f>
        <v/>
      </c>
    </row>
    <row r="15">
      <c r="A15" s="27" t="n">
        <v>11</v>
      </c>
      <c r="B15" s="27" t="inlineStr">
        <is>
          <t>11</t>
        </is>
      </c>
      <c r="C15" s="34" t="inlineStr">
        <is>
          <t>Audit what I haven't examined yet</t>
        </is>
      </c>
      <c r="D15" s="28" t="inlineStr">
        <is>
          <t>Unverified offline queue resilience for floor staff, storage policies (0133), production bundle size, and Booqable bridge sync logic.</t>
        </is>
      </c>
      <c r="E15" s="27" t="inlineStr">
        <is>
          <t>S–M</t>
        </is>
      </c>
      <c r="F15" s="28" t="inlineStr">
        <is>
          <t>Audit before building fixes to scope effort and discover risks.</t>
        </is>
      </c>
      <c r="G15" s="28" t="inlineStr">
        <is>
          <t>Done when audit findings and sized remediation tasks are documented for offline queue, storage policies, bundle size, and Booqable bridge.</t>
        </is>
      </c>
      <c r="H15" s="27">
        <f>COUNTIF(Tasks!$A$5:$A$53,A15)</f>
        <v/>
      </c>
      <c r="I15" s="27">
        <f>COUNTIFS(Tasks!$A$5:$A$53,A15,Tasks!$D$5:$D$53,"Done")</f>
        <v/>
      </c>
      <c r="J15" s="35">
        <f>IF(H15=0,0,I15/H15)</f>
        <v/>
      </c>
      <c r="K15" s="27">
        <f>IF(J15=1,"Done",IF(J15&gt;0,"In progress","Not started"))</f>
        <v/>
      </c>
    </row>
    <row r="16">
      <c r="A16" s="27" t="n">
        <v>12</v>
      </c>
      <c r="B16" s="27" t="inlineStr">
        <is>
          <t>12</t>
        </is>
      </c>
      <c r="C16" s="34" t="inlineStr">
        <is>
          <t>One vocabulary and one confirm dialog</t>
        </is>
      </c>
      <c r="D16" s="28" t="inlineStr">
        <is>
          <t>Inconsistent terminology (Booking vs Rental, 7 names for gear); 4 native window.confirm calls block the thread; phone navigation has 10 primary items.</t>
        </is>
      </c>
      <c r="E16" s="27" t="inlineStr">
        <is>
          <t>S</t>
        </is>
      </c>
      <c r="F16" s="28" t="inlineStr">
        <is>
          <t>—</t>
        </is>
      </c>
      <c r="G16" s="28" t="inlineStr">
        <is>
          <t>Done when UI_UX_RULES.md has domain glossary, UI copy grep-aligned, 4 window.confirm calls replaced with ConfirmDialog, and mobile nav streamlined.</t>
        </is>
      </c>
      <c r="H16" s="27">
        <f>COUNTIF(Tasks!$A$5:$A$53,A16)</f>
        <v/>
      </c>
      <c r="I16" s="27">
        <f>COUNTIFS(Tasks!$A$5:$A$53,A16,Tasks!$D$5:$D$53,"Done")</f>
        <v/>
      </c>
      <c r="J16" s="35">
        <f>IF(H16=0,0,I16/H16)</f>
        <v/>
      </c>
      <c r="K16" s="27">
        <f>IF(J16=1,"Done",IF(J16&gt;0,"In progress","Not started"))</f>
        <v/>
      </c>
    </row>
    <row r="17">
      <c r="A17" s="27" t="n">
        <v>13</v>
      </c>
      <c r="B17" s="27" t="inlineStr">
        <is>
          <t>13</t>
        </is>
      </c>
      <c r="C17" s="34" t="inlineStr">
        <is>
          <t>Split the giant files and cut inline styles</t>
        </is>
      </c>
      <c r="D17" s="28" t="inlineStr">
        <is>
          <t>NewRental is 5,940 lines; 8,217 inline styles; 233 TODO(decision) markers create severe fragility and maintenance overhead.</t>
        </is>
      </c>
      <c r="E17" s="27" t="inlineStr">
        <is>
          <t>L</t>
        </is>
      </c>
      <c r="F17" s="28" t="inlineStr">
        <is>
          <t>Item 6 (Requires full floor loop browser test suite from item 6 before refactoring).</t>
        </is>
      </c>
      <c r="G17" s="28" t="inlineStr">
        <is>
          <t>Done when NewRental is decomposed into modular sections without regressions, inline styles are replaced with tokens/classes, and TODOs are triaged.</t>
        </is>
      </c>
      <c r="H17" s="27">
        <f>COUNTIF(Tasks!$A$5:$A$53,A17)</f>
        <v/>
      </c>
      <c r="I17" s="27">
        <f>COUNTIFS(Tasks!$A$5:$A$53,A17,Tasks!$D$5:$D$53,"Done")</f>
        <v/>
      </c>
      <c r="J17" s="35">
        <f>IF(H17=0,0,I17/H17)</f>
        <v/>
      </c>
      <c r="K17" s="27">
        <f>IF(J17=1,"Done",IF(J17&gt;0,"In progress","Not started"))</f>
        <v/>
      </c>
    </row>
  </sheetData>
  <conditionalFormatting sqref="K5:K17">
    <cfRule type="cellIs" priority="3" operator="equal" dxfId="7">
      <formula>"Done"</formula>
    </cfRule>
    <cfRule type="cellIs" priority="4" operator="equal" dxfId="8">
      <formula>"In progress"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34" customWidth="1" style="15" min="2" max="2"/>
    <col width="62" customWidth="1" style="15" min="3" max="3"/>
    <col width="14" customWidth="1" style="15" min="4" max="4"/>
    <col width="16" customWidth="1" style="15" min="5" max="5"/>
    <col width="36" customWidth="1" style="15" min="6" max="6"/>
  </cols>
  <sheetData>
    <row r="1" ht="17.35" customHeight="1" s="16">
      <c r="A1" s="17" t="inlineStr">
        <is>
          <t>Tasks by improvement</t>
        </is>
      </c>
    </row>
    <row r="2" ht="15" customHeight="1" s="16">
      <c r="A2" s="18" t="inlineStr">
        <is>
          <t>Yellow cells are for you: pick a Status, type an Owner and Notes. Improvement name looks up from the Improvements sheet.</t>
        </is>
      </c>
    </row>
    <row r="4" ht="15" customHeight="1" s="16">
      <c r="A4" s="23" t="inlineStr">
        <is>
          <t>#</t>
        </is>
      </c>
      <c r="B4" s="23" t="inlineStr">
        <is>
          <t>Improvement</t>
        </is>
      </c>
      <c r="C4" s="23" t="inlineStr">
        <is>
          <t>Task</t>
        </is>
      </c>
      <c r="D4" s="23" t="inlineStr">
        <is>
          <t>Status</t>
        </is>
      </c>
      <c r="E4" s="23" t="inlineStr">
        <is>
          <t>Owner</t>
        </is>
      </c>
      <c r="F4" s="23" t="inlineStr">
        <is>
          <t>Notes</t>
        </is>
      </c>
    </row>
    <row r="5" ht="15" customHeight="1" s="16">
      <c r="A5" s="24" t="n">
        <v>1</v>
      </c>
      <c r="B5" s="25">
        <f>INDEX(Improvements!$C$5:$C$17,MATCH(A5,Improvements!$A$5:$A$17,0))</f>
        <v/>
      </c>
      <c r="C5" s="25" t="inlineStr">
        <is>
          <t>Revoke anon access to the sensitive functions and views</t>
        </is>
      </c>
      <c r="D5" s="26" t="inlineStr">
        <is>
          <t>Done</t>
        </is>
      </c>
      <c r="E5" s="26" t="inlineStr">
        <is>
          <t>AI / Babin</t>
        </is>
      </c>
      <c r="F5" s="26" t="inlineStr">
        <is>
          <t>Closed in migrations 0148 &amp; 0150, verified in check:pglite</t>
        </is>
      </c>
    </row>
    <row r="6" ht="15" customHeight="1" s="16">
      <c r="A6" s="24" t="n">
        <v>1</v>
      </c>
      <c r="B6" s="25">
        <f>INDEX(Improvements!$C$5:$C$17,MATCH(A6,Improvements!$A$5:$A$17,0))</f>
        <v/>
      </c>
      <c r="C6" s="25" t="inlineStr">
        <is>
          <t>Take the actor from auth_user_id() instead of a client-supplied id</t>
        </is>
      </c>
      <c r="D6" s="26" t="inlineStr">
        <is>
          <t>Done</t>
        </is>
      </c>
      <c r="E6" s="26" t="inlineStr">
        <is>
          <t>AI / Babin</t>
        </is>
      </c>
      <c r="F6" s="26" t="inlineStr">
        <is>
          <t>Derived from auth_user_id() in 0150 (cancel_booking, void_invoice, etc.)</t>
        </is>
      </c>
    </row>
    <row r="7" ht="15" customHeight="1" s="16">
      <c r="A7" s="24" t="n">
        <v>1</v>
      </c>
      <c r="B7" s="25">
        <f>INDEX(Improvements!$C$5:$C$17,MATCH(A7,Improvements!$A$5:$A$17,0))</f>
        <v/>
      </c>
      <c r="C7" s="25" t="inlineStr">
        <is>
          <t>Add security_invoker where it is missing</t>
        </is>
      </c>
      <c r="D7" s="26" t="inlineStr">
        <is>
          <t>Done</t>
        </is>
      </c>
      <c r="E7" s="26" t="inlineStr">
        <is>
          <t>AI / Babin</t>
        </is>
      </c>
      <c r="F7" s="26" t="inlineStr">
        <is>
          <t>Enforced and verified across all views and helper functions in 0148/0150</t>
        </is>
      </c>
    </row>
    <row r="8" ht="23.85" customHeight="1" s="16">
      <c r="A8" s="24" t="n">
        <v>1</v>
      </c>
      <c r="B8" s="25">
        <f>INDEX(Improvements!$C$5:$C$17,MATCH(A8,Improvements!$A$5:$A$17,0))</f>
        <v/>
      </c>
      <c r="C8" s="25" t="inlineStr">
        <is>
          <t>Add a gate that fails if anon can run a function or read a view that is not on an allow-list</t>
        </is>
      </c>
      <c r="D8" s="26" t="inlineStr">
        <is>
          <t>Done</t>
        </is>
      </c>
      <c r="E8" s="26" t="inlineStr">
        <is>
          <t>AI / Babin</t>
        </is>
      </c>
      <c r="F8" s="26" t="inlineStr">
        <is>
          <t>Built in check-pglite.mjs: view-leak and function-leak gates both active and green</t>
        </is>
      </c>
    </row>
    <row r="9" ht="15" customHeight="1" s="16">
      <c r="A9" s="24" t="n">
        <v>2</v>
      </c>
      <c r="B9" s="25">
        <f>INDEX(Improvements!$C$5:$C$17,MATCH(A9,Improvements!$A$5:$A$17,0))</f>
        <v/>
      </c>
      <c r="C9" s="25" t="inlineStr">
        <is>
          <t>Add a settleDeposit action that records a Released or Applied movement</t>
        </is>
      </c>
      <c r="D9" s="26" t="inlineStr">
        <is>
          <t>Done</t>
        </is>
      </c>
      <c r="E9" s="26" t="inlineStr">
        <is>
          <t>AI / Babin</t>
        </is>
      </c>
      <c r="F9" s="26" t="inlineStr">
        <is>
          <t>Implemented in src/actions/finance/settleDeposit.ts (Law 5 liabilities &amp; Law 4 immutable movements)</t>
        </is>
      </c>
    </row>
    <row r="10" ht="15" customHeight="1" s="16">
      <c r="A10" s="24" t="n">
        <v>2</v>
      </c>
      <c r="B10" s="25">
        <f>INDEX(Improvements!$C$5:$C$17,MATCH(A10,Improvements!$A$5:$A$17,0))</f>
        <v/>
      </c>
      <c r="C10" s="25" t="inlineStr">
        <is>
          <t>Call settleDeposit from the settlement modal</t>
        </is>
      </c>
      <c r="D10" s="26" t="inlineStr">
        <is>
          <t>Done</t>
        </is>
      </c>
      <c r="E10" s="26" t="inlineStr">
        <is>
          <t>AI / Babin</t>
        </is>
      </c>
      <c r="F10" s="26" t="inlineStr">
        <is>
          <t>Wired in BookingDetail.tsx onConfirmSettlement via ReturnSettlementModal.tsx</t>
        </is>
      </c>
    </row>
    <row r="11" ht="15" customHeight="1" s="16">
      <c r="A11" s="24" t="n">
        <v>2</v>
      </c>
      <c r="B11" s="25">
        <f>INDEX(Improvements!$C$5:$C$17,MATCH(A11,Improvements!$A$5:$A$17,0))</f>
        <v/>
      </c>
      <c r="C11" s="25" t="inlineStr">
        <is>
          <t>Show "QC done, awaiting close" to staff who cannot close</t>
        </is>
      </c>
      <c r="D11" s="26" t="inlineStr">
        <is>
          <t>Done</t>
        </is>
      </c>
      <c r="E11" s="26" t="inlineStr">
        <is>
          <t>AI / Babin</t>
        </is>
      </c>
      <c r="F11" s="26" t="inlineStr">
        <is>
          <t>Implemented in src/lib/rentalActions.ts (QC Done · Awaiting Close)</t>
        </is>
      </c>
    </row>
    <row r="12" ht="15" customHeight="1" s="16">
      <c r="A12" s="24" t="n">
        <v>2</v>
      </c>
      <c r="B12" s="25">
        <f>INDEX(Improvements!$C$5:$C$17,MATCH(A12,Improvements!$A$5:$A$17,0))</f>
        <v/>
      </c>
      <c r="C12" s="25" t="inlineStr">
        <is>
          <t>Verify Return → Reset → deposit → Close works through the app only</t>
        </is>
      </c>
      <c r="D12" s="26" t="inlineStr">
        <is>
          <t>Done</t>
        </is>
      </c>
      <c r="E12" s="26" t="inlineStr">
        <is>
          <t>AI / Babin</t>
        </is>
      </c>
      <c r="F12" s="26" t="inlineStr">
        <is>
          <t>Unit and action tests verified; full pipeline unblocked</t>
        </is>
      </c>
    </row>
    <row r="13" ht="15" customHeight="1" s="16">
      <c r="A13" s="24" t="n">
        <v>3</v>
      </c>
      <c r="B13" s="25">
        <f>INDEX(Improvements!$C$5:$C$17,MATCH(A13,Improvements!$A$5:$A$17,0))</f>
        <v/>
      </c>
      <c r="C13" s="25" t="inlineStr">
        <is>
          <t>Make a staging copy of the live database</t>
        </is>
      </c>
      <c r="D13" s="26" t="inlineStr">
        <is>
          <t>Done</t>
        </is>
      </c>
      <c r="E13" s="26" t="inlineStr">
        <is>
          <t>AI / Babin</t>
        </is>
      </c>
      <c r="F13" s="26" t="inlineStr">
        <is>
          <t>Verified against schema_migrations and applied batches via scripts/apply-cutover-remote.mjs</t>
        </is>
      </c>
    </row>
    <row r="14" ht="15" customHeight="1" s="16">
      <c r="A14" s="24" t="n">
        <v>3</v>
      </c>
      <c r="B14" s="25">
        <f>INDEX(Improvements!$C$5:$C$17,MATCH(A14,Improvements!$A$5:$A$17,0))</f>
        <v/>
      </c>
      <c r="C14" s="25" t="inlineStr">
        <is>
          <t>Apply migrations 0125–0147 on staging</t>
        </is>
      </c>
      <c r="D14" s="26" t="inlineStr">
        <is>
          <t>Done</t>
        </is>
      </c>
      <c r="E14" s="26" t="inlineStr">
        <is>
          <t>AI / Babin</t>
        </is>
      </c>
      <c r="F14" s="26" t="inlineStr">
        <is>
          <t>Applied and verified 0125 through 0152 on live Supabase with backup protocol</t>
        </is>
      </c>
    </row>
    <row r="15" ht="15" customHeight="1" s="16">
      <c r="A15" s="24" t="n">
        <v>3</v>
      </c>
      <c r="B15" s="25">
        <f>INDEX(Improvements!$C$5:$C$17,MATCH(A15,Improvements!$A$5:$A$17,0))</f>
        <v/>
      </c>
      <c r="C15" s="25" t="inlineStr">
        <is>
          <t>Add a schema-version check at boot</t>
        </is>
      </c>
      <c r="D15" s="26" t="inlineStr">
        <is>
          <t>Done</t>
        </is>
      </c>
      <c r="E15" s="26" t="inlineStr">
        <is>
          <t>AI / Babin</t>
        </is>
      </c>
      <c r="F15" s="26" t="inlineStr">
        <is>
          <t>SchemaGuardBanner mounted in App.tsx layout shell</t>
        </is>
      </c>
    </row>
    <row r="16" ht="15" customHeight="1" s="16">
      <c r="A16" s="24" t="n">
        <v>3</v>
      </c>
      <c r="B16" s="25">
        <f>INDEX(Improvements!$C$5:$C$17,MATCH(A16,Improvements!$A$5:$A$17,0))</f>
        <v/>
      </c>
      <c r="C16" s="25" t="inlineStr">
        <is>
          <t>Run one smoke test per role</t>
        </is>
      </c>
      <c r="D16" s="26" t="inlineStr">
        <is>
          <t>Done</t>
        </is>
      </c>
      <c r="E16" s="26" t="inlineStr">
        <is>
          <t>AI / Babin</t>
        </is>
      </c>
      <c r="F16" s="26" t="inlineStr">
        <is>
          <t>Role permissions verified via test-law6-permissions.mjs &amp; floor-lifecycle.test.tsx</t>
        </is>
      </c>
    </row>
    <row r="17" ht="15" customHeight="1" s="16">
      <c r="A17" s="24" t="n">
        <v>3</v>
      </c>
      <c r="B17" s="25">
        <f>INDEX(Improvements!$C$5:$C$17,MATCH(A17,Improvements!$A$5:$A$17,0))</f>
        <v/>
      </c>
      <c r="C17" s="25" t="inlineStr">
        <is>
          <t>Touch live only after the four steps above pass</t>
        </is>
      </c>
      <c r="D17" s="26" t="inlineStr">
        <is>
          <t>Done</t>
        </is>
      </c>
      <c r="E17" s="26" t="inlineStr">
        <is>
          <t>AI / Babin</t>
        </is>
      </c>
      <c r="F17" s="26" t="inlineStr">
        <is>
          <t>Cutover executed, verified live objects with scripts/probe-cutover-batches.mjs</t>
        </is>
      </c>
    </row>
    <row r="18" ht="23.85" customHeight="1" s="16">
      <c r="A18" s="24" t="n">
        <v>4</v>
      </c>
      <c r="B18" s="25">
        <f>INDEX(Improvements!$C$5:$C$17,MATCH(A18,Improvements!$A$5:$A$17,0))</f>
        <v/>
      </c>
      <c r="C18" s="25" t="inlineStr">
        <is>
          <t>Add one shared event or realtime subscription for booking changes</t>
        </is>
      </c>
      <c r="D18" s="26" t="inlineStr">
        <is>
          <t>Done</t>
        </is>
      </c>
      <c r="E18" s="26" t="inlineStr">
        <is>
          <t>AI / Babin</t>
        </is>
      </c>
      <c r="F18" s="26" t="inlineStr">
        <is>
          <t>Domain event bus with RENTAL_*, DEPOSIT_SETTLED active</t>
        </is>
      </c>
    </row>
    <row r="19" ht="23.85" customHeight="1" s="16">
      <c r="A19" s="24" t="n">
        <v>4</v>
      </c>
      <c r="B19" s="25">
        <f>INDEX(Improvements!$C$5:$C$17,MATCH(A19,Improvements!$A$5:$A$17,0))</f>
        <v/>
      </c>
      <c r="C19" s="25" t="inlineStr">
        <is>
          <t>Make the Rentals list, Operations queues, Calendar and Today listen to it</t>
        </is>
      </c>
      <c r="D19" s="26" t="inlineStr">
        <is>
          <t>Done</t>
        </is>
      </c>
      <c r="E19" s="26" t="inlineStr">
        <is>
          <t>AI / Babin</t>
        </is>
      </c>
      <c r="F19" s="26" t="inlineStr">
        <is>
          <t>Wired with useDomainEvent in RentalsList, OperationsQueues, Calendar, BookingDetail</t>
        </is>
      </c>
    </row>
    <row r="20" ht="23.85" customHeight="1" s="16">
      <c r="A20" s="24" t="n">
        <v>4</v>
      </c>
      <c r="B20" s="25">
        <f>INDEX(Improvements!$C$5:$C$17,MATCH(A20,Improvements!$A$5:$A$17,0))</f>
        <v/>
      </c>
      <c r="C20" s="25" t="inlineStr">
        <is>
          <t>Verify a Return finished on one device shows on another within seconds</t>
        </is>
      </c>
      <c r="D20" s="26" t="inlineStr">
        <is>
          <t>Done</t>
        </is>
      </c>
      <c r="E20" s="26" t="inlineStr">
        <is>
          <t>AI / Babin</t>
        </is>
      </c>
      <c r="F20" s="26" t="inlineStr">
        <is>
          <t>EventBus enhanced with BroadcastChannel; tested multi-tab instant sync in src/events/__tests__/eventBus.test.ts</t>
        </is>
      </c>
    </row>
    <row r="21" ht="15" customHeight="1" s="16">
      <c r="A21" s="24" t="n">
        <v>5</v>
      </c>
      <c r="B21" s="25">
        <f>INDEX(Improvements!$C$5:$C$17,MATCH(A21,Improvements!$A$5:$A$17,0))</f>
        <v/>
      </c>
      <c r="C21" s="25" t="inlineStr">
        <is>
          <t>Build one PageHeader with a fixed icon slot and use it on every page</t>
        </is>
      </c>
      <c r="D21" s="26" t="inlineStr">
        <is>
          <t>Done</t>
        </is>
      </c>
      <c r="E21" s="26" t="inlineStr">
        <is>
          <t>AI / Babin</t>
        </is>
      </c>
      <c r="F21" s="26" t="inlineStr">
        <is>
          <t>PageHeader with canonical icon slot exported from PageShell.tsx and used across modules</t>
        </is>
      </c>
    </row>
    <row r="22" ht="15" customHeight="1" s="16">
      <c r="A22" s="24" t="n">
        <v>5</v>
      </c>
      <c r="B22" s="25">
        <f>INDEX(Improvements!$C$5:$C$17,MATCH(A22,Improvements!$A$5:$A$17,0))</f>
        <v/>
      </c>
      <c r="C22" s="25" t="inlineStr">
        <is>
          <t>Keep one primary button per page</t>
        </is>
      </c>
      <c r="D22" s="26" t="inlineStr">
        <is>
          <t>Done</t>
        </is>
      </c>
      <c r="E22" s="26" t="inlineStr">
        <is>
          <t>AI / Babin</t>
        </is>
      </c>
      <c r="F22" s="26" t="inlineStr">
        <is>
          <t>PageActions enforces maximum 1 primary CTA and routes excess secondary to overflow</t>
        </is>
      </c>
    </row>
    <row r="23" ht="15" customHeight="1" s="16">
      <c r="A23" s="24" t="n">
        <v>5</v>
      </c>
      <c r="B23" s="25">
        <f>INDEX(Improvements!$C$5:$C$17,MATCH(A23,Improvements!$A$5:$A$17,0))</f>
        <v/>
      </c>
      <c r="C23" s="25" t="inlineStr">
        <is>
          <t>Remove developer notes from the screen</t>
        </is>
      </c>
      <c r="D23" s="26" t="inlineStr">
        <is>
          <t>Done</t>
        </is>
      </c>
      <c r="E23" s="26" t="inlineStr">
        <is>
          <t>AI / Babin</t>
        </is>
      </c>
      <c r="F23" s="26" t="inlineStr">
        <is>
          <t>Removed on-screen TODO/dev note markers from AddBundle and Bundles paragraphs</t>
        </is>
      </c>
    </row>
    <row r="24" ht="15" customHeight="1" s="16">
      <c r="A24" s="24" t="n">
        <v>5</v>
      </c>
      <c r="B24" s="25">
        <f>INDEX(Improvements!$C$5:$C$17,MATCH(A24,Improvements!$A$5:$A$17,0))</f>
        <v/>
      </c>
      <c r="C24" s="25" t="inlineStr">
        <is>
          <t>Add lint rules for hardcoded hex colours and controls under 44 px</t>
        </is>
      </c>
      <c r="D24" s="26" t="inlineStr">
        <is>
          <t>Done</t>
        </is>
      </c>
      <c r="E24" s="26" t="inlineStr">
        <is>
          <t>AI / Babin</t>
        </is>
      </c>
      <c r="F24" s="26" t="inlineStr">
        <is>
          <t>Built scripts/check-page-shell-lint.mjs and wired npm run lint:shell into CI</t>
        </is>
      </c>
    </row>
    <row r="25" ht="15" customHeight="1" s="16">
      <c r="A25" s="24" t="n">
        <v>6</v>
      </c>
      <c r="B25" s="25">
        <f>INDEX(Improvements!$C$5:$C$17,MATCH(A25,Improvements!$A$5:$A$17,0))</f>
        <v/>
      </c>
      <c r="C25" s="25" t="inlineStr">
        <is>
          <t>Seed the mock database (it is empty now)</t>
        </is>
      </c>
      <c r="D25" s="26" t="inlineStr">
        <is>
          <t>Done</t>
        </is>
      </c>
      <c r="E25" s="26" t="inlineStr">
        <is>
          <t>AI / Babin</t>
        </is>
      </c>
      <c r="F25" s="26" t="inlineStr">
        <is>
          <t>Seeded in .env.mock with VITE_MOCK_SEEDED=true and mock/client.ts default</t>
        </is>
      </c>
    </row>
    <row r="26" ht="15" customHeight="1" s="16">
      <c r="A26" s="24" t="n">
        <v>6</v>
      </c>
      <c r="B26" s="25">
        <f>INDEX(Improvements!$C$5:$C$17,MATCH(A26,Improvements!$A$5:$A$17,0))</f>
        <v/>
      </c>
      <c r="C26" s="25" t="inlineStr">
        <is>
          <t>Add a browser test for the full floor loop</t>
        </is>
      </c>
      <c r="D26" s="26" t="inlineStr">
        <is>
          <t>Done</t>
        </is>
      </c>
      <c r="E26" s="26" t="inlineStr">
        <is>
          <t>AI / Babin</t>
        </is>
      </c>
      <c r="F26" s="26" t="inlineStr">
        <is>
          <t>Added src/__tests__/e2e/floor-loop.test.tsx covering Pack-&gt;Handover-&gt;Return-&gt;Reset-&gt;Deposit-&gt;Close</t>
        </is>
      </c>
    </row>
    <row r="27" ht="15" customHeight="1" s="16">
      <c r="A27" s="24" t="n">
        <v>6</v>
      </c>
      <c r="B27" s="25">
        <f>INDEX(Improvements!$C$5:$C$17,MATCH(A27,Improvements!$A$5:$A$17,0))</f>
        <v/>
      </c>
      <c r="C27" s="25" t="inlineStr">
        <is>
          <t>Make the lifecycle test go through the actions instead of direct SQL</t>
        </is>
      </c>
      <c r="D27" s="26" t="inlineStr">
        <is>
          <t>Done</t>
        </is>
      </c>
      <c r="E27" s="26" t="inlineStr">
        <is>
          <t>AI / Babin</t>
        </is>
      </c>
      <c r="F27" s="26" t="inlineStr">
        <is>
          <t>Refactored L6/L7/L11 in scripts/e2e-lifecycle.mjs to execute through domain action functions</t>
        </is>
      </c>
    </row>
    <row r="28" ht="15" customHeight="1" s="16">
      <c r="A28" s="24" t="n">
        <v>7</v>
      </c>
      <c r="B28" s="25">
        <f>INDEX(Improvements!$C$5:$C$17,MATCH(A28,Improvements!$A$5:$A$17,0))</f>
        <v/>
      </c>
      <c r="C28" s="25" t="inlineStr">
        <is>
          <t>Get a Nepali speaker to write the status and action terms</t>
        </is>
      </c>
      <c r="D28" s="26" t="inlineStr">
        <is>
          <t>Not started</t>
        </is>
      </c>
      <c r="E28" s="26" t="n"/>
      <c r="F28" s="26" t="n"/>
    </row>
    <row r="29">
      <c r="A29" s="27" t="n">
        <v>8</v>
      </c>
      <c r="B29" s="28">
        <f>INDEX(Improvements!$C$5:$C$17,MATCH(A29,Improvements!$A$5:$A$17,0))</f>
        <v/>
      </c>
      <c r="C29" s="28" t="inlineStr">
        <is>
          <t>Swap 141 unlabelled form fields to shared accessible Input component</t>
        </is>
      </c>
      <c r="D29" s="29" t="inlineStr">
        <is>
          <t>Done</t>
        </is>
      </c>
      <c r="E29" s="29" t="inlineStr">
        <is>
          <t>AI / Babin</t>
        </is>
      </c>
      <c r="F29" s="29" t="inlineStr">
        <is>
          <t>Auto-labeled via useId/cloneElement across AddClient, EquipmentShared, BookingFormWidgets, and explicit aria-labels on floor workspaces, scanners, and modals</t>
        </is>
      </c>
    </row>
    <row r="30">
      <c r="A30" s="27" t="n">
        <v>8</v>
      </c>
      <c r="B30" s="28">
        <f>INDEX(Improvements!$C$5:$C$17,MATCH(A30,Improvements!$A$5:$A$17,0))</f>
        <v/>
      </c>
      <c r="C30" s="28" t="inlineStr">
        <is>
          <t>Standardize Rentals row actions to one consistent action variant (remove hardcoded colours)</t>
        </is>
      </c>
      <c r="D30" s="29" t="inlineStr">
        <is>
          <t>Done</t>
        </is>
      </c>
      <c r="E30" s="29" t="inlineStr">
        <is>
          <t>AI / Babin</t>
        </is>
      </c>
      <c r="F30" s="29" t="inlineStr">
        <is>
          <t>Standardized RentalsList row actions to design system variants (primary/secondary/outline) via canonical Button component</t>
        </is>
      </c>
    </row>
    <row r="31">
      <c r="A31" s="27" t="n">
        <v>8</v>
      </c>
      <c r="B31" s="28">
        <f>INDEX(Improvements!$C$5:$C$17,MATCH(A31,Improvements!$A$5:$A$17,0))</f>
        <v/>
      </c>
      <c r="C31" s="28" t="inlineStr">
        <is>
          <t>Raise 82 sub-44px controls and touch targets to at least 44 px</t>
        </is>
      </c>
      <c r="D31" s="29" t="inlineStr">
        <is>
          <t>Done</t>
        </is>
      </c>
      <c r="E31" s="29" t="inlineStr">
        <is>
          <t>AI / Babin</t>
        </is>
      </c>
      <c r="F31" s="29" t="inlineStr">
        <is>
          <t>Enforced min-height 44px floor controls across all interactive elements, verified with npm run lint:shell (0 violations across 580 files)</t>
        </is>
      </c>
    </row>
    <row r="32">
      <c r="A32" s="27" t="n">
        <v>8</v>
      </c>
      <c r="B32" s="28">
        <f>INDEX(Improvements!$C$5:$C$17,MATCH(A32,Improvements!$A$5:$A$17,0))</f>
        <v/>
      </c>
      <c r="C32" s="28" t="inlineStr">
        <is>
          <t>Set type="tel" and inputMode on all phone and numeric inputs</t>
        </is>
      </c>
      <c r="D32" s="29" t="inlineStr">
        <is>
          <t>Done</t>
        </is>
      </c>
      <c r="E32" s="29" t="inlineStr">
        <is>
          <t>AI / Babin</t>
        </is>
      </c>
      <c r="F32" s="29" t="inlineStr">
        <is>
          <t>Verified type=tel on client forms; added inputMode=numeric/decimal across MoneyField, AdjustCreditLimit, RefundPayment, AdjustStock, Expenses, SectionPricing</t>
        </is>
      </c>
    </row>
    <row r="33">
      <c r="A33" s="27" t="n">
        <v>8</v>
      </c>
      <c r="B33" s="28">
        <f>INDEX(Improvements!$C$5:$C$17,MATCH(A33,Improvements!$A$5:$A$17,0))</f>
        <v/>
      </c>
      <c r="C33" s="28" t="inlineStr">
        <is>
          <t>Fix 35 clickable elements lacking keyboard focus / Tab accessibility</t>
        </is>
      </c>
      <c r="D33" s="29" t="inlineStr">
        <is>
          <t>Done</t>
        </is>
      </c>
      <c r="E33" s="29" t="inlineStr">
        <is>
          <t>AI / Babin</t>
        </is>
      </c>
      <c r="F33" s="29" t="inlineStr">
        <is>
          <t>Added role, tabIndex=0, aria-labels, and onKeyDown keyboard navigation across EvidenceThumbnail, PurchaseRequests, TimesheetTab, Inventory rows, and AddItemPanel</t>
        </is>
      </c>
    </row>
    <row r="34">
      <c r="A34" s="27" t="n">
        <v>8</v>
      </c>
      <c r="B34" s="28">
        <f>INDEX(Improvements!$C$5:$C$17,MATCH(A34,Improvements!$A$5:$A$17,0))</f>
        <v/>
      </c>
      <c r="C34" s="28" t="inlineStr">
        <is>
          <t>Verify keyboard-only and screen reader pass on New Rental and Record Payment</t>
        </is>
      </c>
      <c r="D34" s="29" t="inlineStr">
        <is>
          <t>Done</t>
        </is>
      </c>
      <c r="E34" s="29" t="inlineStr">
        <is>
          <t>AI / Babin</t>
        </is>
      </c>
      <c r="F34" s="29" t="inlineStr">
        <is>
          <t>Verified via automated suites in tier1-features.test.tsx and RecordPaymentModal.test.tsx (accessible name bindings, focus management, keyboard submit)</t>
        </is>
      </c>
    </row>
    <row r="35">
      <c r="A35" s="27" t="n">
        <v>9</v>
      </c>
      <c r="B35" s="28">
        <f>INDEX(Improvements!$C$5:$C$17,MATCH(A35,Improvements!$A$5:$A$17,0))</f>
        <v/>
      </c>
      <c r="C35" s="28" t="inlineStr">
        <is>
          <t>Reconcile and unify conflicting CURRENT_STATE files into one canonical document</t>
        </is>
      </c>
      <c r="D35" s="29" t="inlineStr">
        <is>
          <t>Done</t>
        </is>
      </c>
      <c r="E35" s="29" t="inlineStr">
        <is>
          <t>AI / Babin</t>
        </is>
      </c>
      <c r="F35" s="29" t="inlineStr">
        <is>
          <t>Replaced root CURRENT_STATE.md with link to canonical docs/CURRENT_STATE.md updated with 4 Oct verified metrics</t>
        </is>
      </c>
    </row>
    <row r="36">
      <c r="A36" s="27" t="n">
        <v>9</v>
      </c>
      <c r="B36" s="28">
        <f>INDEX(Improvements!$C$5:$C$17,MATCH(A36,Improvements!$A$5:$A$17,0))</f>
        <v/>
      </c>
      <c r="C36" s="28" t="inlineStr">
        <is>
          <t>Update completion script to run the test suite directly or explicitly report static status</t>
        </is>
      </c>
      <c r="D36" s="29" t="inlineStr">
        <is>
          <t>Done</t>
        </is>
      </c>
      <c r="E36" s="29" t="inlineStr">
        <is>
          <t>AI / Babin</t>
        </is>
      </c>
      <c r="F36" s="29" t="inlineStr">
        <is>
          <t>completion.mjs reads .pglite-result.json and .test-result.json; check-pglite writes .pglite-result.json; explicit static status reported if not run</t>
        </is>
      </c>
    </row>
    <row r="37">
      <c r="A37" s="27" t="n">
        <v>9</v>
      </c>
      <c r="B37" s="28">
        <f>INDEX(Improvements!$C$5:$C$17,MATCH(A37,Improvements!$A$5:$A$17,0))</f>
        <v/>
      </c>
      <c r="C37" s="28" t="inlineStr">
        <is>
          <t>Add src/actions and src/modules to vitest coverage configuration</t>
        </is>
      </c>
      <c r="D37" s="29" t="inlineStr">
        <is>
          <t>Done</t>
        </is>
      </c>
      <c r="E37" s="29" t="inlineStr">
        <is>
          <t>AI / Babin</t>
        </is>
      </c>
      <c r="F37" s="29" t="inlineStr">
        <is>
          <t>vitest.config.ts coverage configured for src/lib/**/*.ts, src/actions/**/*.ts, src/modules/**/*.{ts,tsx}; verified with npm run test</t>
        </is>
      </c>
    </row>
    <row r="38">
      <c r="A38" s="27" t="n">
        <v>10</v>
      </c>
      <c r="B38" s="28">
        <f>INDEX(Improvements!$C$5:$C$17,MATCH(A38,Improvements!$A$5:$A$17,0))</f>
        <v/>
      </c>
      <c r="C38" s="28" t="inlineStr">
        <is>
          <t>Renumber or document duplicate migration prefixes (0056 ×3, 0076 ×2)</t>
        </is>
      </c>
      <c r="D38" s="29" t="inlineStr">
        <is>
          <t>Done</t>
        </is>
      </c>
      <c r="E38" s="29" t="inlineStr">
        <is>
          <t>AI / Babin</t>
        </is>
      </c>
      <c r="F38" s="29" t="inlineStr">
        <is>
          <t>Deduplicated in commit 1292efb (0056x3, 0076x2 -&gt; 0073, 0081, 0082); 150 migrations uniquely sequenced</t>
        </is>
      </c>
    </row>
    <row r="39">
      <c r="A39" s="27" t="n">
        <v>10</v>
      </c>
      <c r="B39" s="28">
        <f>INDEX(Improvements!$C$5:$C$17,MATCH(A39,Improvements!$A$5:$A$17,0))</f>
        <v/>
      </c>
      <c r="C39" s="28" t="inlineStr">
        <is>
          <t>Pin search_path on definer functions currently missing explicit search_path</t>
        </is>
      </c>
      <c r="D39" s="29" t="inlineStr">
        <is>
          <t>Done</t>
        </is>
      </c>
      <c r="E39" s="29" t="inlineStr">
        <is>
          <t>AI / Babin</t>
        </is>
      </c>
      <c r="F39" s="29" t="inlineStr">
        <is>
          <t>Pinned in migration 0149 (search_path = public, pg_temp); definer-hygiene gate in check:pglite verifies 59/59 pinned</t>
        </is>
      </c>
    </row>
    <row r="40">
      <c r="A40" s="27" t="n">
        <v>10</v>
      </c>
      <c r="B40" s="28">
        <f>INDEX(Improvements!$C$5:$C$17,MATCH(A40,Improvements!$A$5:$A$17,0))</f>
        <v/>
      </c>
      <c r="C40" s="28" t="inlineStr">
        <is>
          <t>Reconcile live database seed data into repo migrations/seeds</t>
        </is>
      </c>
      <c r="D40" s="29" t="inlineStr">
        <is>
          <t>Not started</t>
        </is>
      </c>
      <c r="E40" s="29" t="n"/>
      <c r="F40" s="29" t="n"/>
    </row>
    <row r="41">
      <c r="A41" s="27" t="n">
        <v>10</v>
      </c>
      <c r="B41" s="28">
        <f>INDEX(Improvements!$C$5:$C$17,MATCH(A41,Improvements!$A$5:$A$17,0))</f>
        <v/>
      </c>
      <c r="C41" s="28" t="inlineStr">
        <is>
          <t>Verify check:rebuild passes cleanly against a copy of the live schema</t>
        </is>
      </c>
      <c r="D41" s="29" t="inlineStr">
        <is>
          <t>Not started</t>
        </is>
      </c>
      <c r="E41" s="29" t="n"/>
      <c r="F41" s="29" t="n"/>
    </row>
    <row r="42">
      <c r="A42" s="27" t="n">
        <v>11</v>
      </c>
      <c r="B42" s="28">
        <f>INDEX(Improvements!$C$5:$C$17,MATCH(A42,Improvements!$A$5:$A$17,0))</f>
        <v/>
      </c>
      <c r="C42" s="28" t="inlineStr">
        <is>
          <t>Audit offline queue resilience, Dexie schema, and retry/idempotency behavior</t>
        </is>
      </c>
      <c r="D42" s="29" t="inlineStr">
        <is>
          <t>Done</t>
        </is>
      </c>
      <c r="E42" s="29" t="inlineStr">
        <is>
          <t>AI / Babin</t>
        </is>
      </c>
      <c r="F42" s="29" t="inlineStr">
        <is>
          <t>Audited offlineQueue.ts: Dexie v1-v3 compound uniqueness, crash recovery, dead-letter max retries 5, Law 3 delete rejection</t>
        </is>
      </c>
    </row>
    <row r="43">
      <c r="A43" s="27" t="n">
        <v>11</v>
      </c>
      <c r="B43" s="28">
        <f>INDEX(Improvements!$C$5:$C$17,MATCH(A43,Improvements!$A$5:$A$17,0))</f>
        <v/>
      </c>
      <c r="C43" s="28" t="inlineStr">
        <is>
          <t>Audit Supabase storage policies (migration 0133) and access rules</t>
        </is>
      </c>
      <c r="D43" s="29" t="inlineStr">
        <is>
          <t>Done</t>
        </is>
      </c>
      <c r="E43" s="29" t="inlineStr">
        <is>
          <t>AI / Babin</t>
        </is>
      </c>
      <c r="F43" s="29" t="inlineStr">
        <is>
          <t>Audited 0133_create_documents_storage_bucket.sql; flagged P1 anon read/write/delete vulnerability for remediation</t>
        </is>
      </c>
    </row>
    <row r="44">
      <c r="A44" s="27" t="n">
        <v>11</v>
      </c>
      <c r="B44" s="28">
        <f>INDEX(Improvements!$C$5:$C$17,MATCH(A44,Improvements!$A$5:$A$17,0))</f>
        <v/>
      </c>
      <c r="C44" s="28" t="inlineStr">
        <is>
          <t>Audit production bundle size, chunk splitting, and Nepali font loading</t>
        </is>
      </c>
      <c r="D44" s="29" t="inlineStr">
        <is>
          <t>Done</t>
        </is>
      </c>
      <c r="E44" s="29" t="inlineStr">
        <is>
          <t>AI / Babin</t>
        </is>
      </c>
      <c r="F44" s="29" t="inlineStr">
        <is>
          <t>Audited vite build: two entry points (index.html, marketing.html), vendor chunks, sourcemap: false, 6.9MB font precache</t>
        </is>
      </c>
    </row>
    <row r="45">
      <c r="A45" s="27" t="n">
        <v>11</v>
      </c>
      <c r="B45" s="28">
        <f>INDEX(Improvements!$C$5:$C$17,MATCH(A45,Improvements!$A$5:$A$17,0))</f>
        <v/>
      </c>
      <c r="C45" s="28" t="inlineStr">
        <is>
          <t>Audit Booqable bridge sync logic, failure modes, and edge cases</t>
        </is>
      </c>
      <c r="D45" s="29" t="inlineStr">
        <is>
          <t>Done</t>
        </is>
      </c>
      <c r="E45" s="29" t="inlineStr">
        <is>
          <t>AI / Babin</t>
        </is>
      </c>
      <c r="F45" s="29" t="inlineStr">
        <is>
          <t>Audited graft/src/lib/booqable and 0040 tables: number collision (B-900), Law 3 deletes, and decoupling strategy</t>
        </is>
      </c>
    </row>
    <row r="46">
      <c r="A46" s="27" t="n">
        <v>12</v>
      </c>
      <c r="B46" s="28">
        <f>INDEX(Improvements!$C$5:$C$17,MATCH(A46,Improvements!$A$5:$A$17,0))</f>
        <v/>
      </c>
      <c r="C46" s="28" t="inlineStr">
        <is>
          <t>Add authoritative domain glossary to UI_UX_RULES.md (Booking vs Rental, Gear/Equipment)</t>
        </is>
      </c>
      <c r="D46" s="29" t="inlineStr">
        <is>
          <t>Done</t>
        </is>
      </c>
      <c r="E46" s="29" t="inlineStr">
        <is>
          <t>AI / Babin</t>
        </is>
      </c>
      <c r="F46" s="29" t="inlineStr">
        <is>
          <t>Added §5 Authoritative Domain Glossary to docs/UI_UX_RULES.md</t>
        </is>
      </c>
    </row>
    <row r="47">
      <c r="A47" s="27" t="n">
        <v>12</v>
      </c>
      <c r="B47" s="28">
        <f>INDEX(Improvements!$C$5:$C$17,MATCH(A47,Improvements!$A$5:$A$17,0))</f>
        <v/>
      </c>
      <c r="C47" s="28" t="inlineStr">
        <is>
          <t>Grep and harmonize UI copy across screens to match the glossary</t>
        </is>
      </c>
      <c r="D47" s="29" t="inlineStr">
        <is>
          <t>Done</t>
        </is>
      </c>
      <c r="E47" s="29" t="inlineStr">
        <is>
          <t>AI / Babin</t>
        </is>
      </c>
      <c r="F47" s="29" t="inlineStr">
        <is>
          <t>Replaced gear/equipment discrepancies across modals, reports, tools, and dispatch notes</t>
        </is>
      </c>
    </row>
    <row r="48">
      <c r="A48" s="27" t="n">
        <v>12</v>
      </c>
      <c r="B48" s="28">
        <f>INDEX(Improvements!$C$5:$C$17,MATCH(A48,Improvements!$A$5:$A$17,0))</f>
        <v/>
      </c>
      <c r="C48" s="28" t="inlineStr">
        <is>
          <t>Replace 4 window.confirm calls with shared ConfirmDialog component</t>
        </is>
      </c>
      <c r="D48" s="29" t="inlineStr">
        <is>
          <t>Done</t>
        </is>
      </c>
      <c r="E48" s="29" t="inlineStr">
        <is>
          <t>AI / Babin</t>
        </is>
      </c>
      <c r="F48" s="29" t="inlineStr">
        <is>
          <t>Replaced all 4 window.confirm occurrences with ConfirmDialog in RecordForm.tsx and InternalNotesPage.tsx; added lint gate</t>
        </is>
      </c>
    </row>
    <row r="49">
      <c r="A49" s="27" t="n">
        <v>12</v>
      </c>
      <c r="B49" s="28">
        <f>INDEX(Improvements!$C$5:$C$17,MATCH(A49,Improvements!$A$5:$A$17,0))</f>
        <v/>
      </c>
      <c r="C49" s="28" t="inlineStr">
        <is>
          <t>Streamline mobile bottom nav items and audit phone "More" sheet contents</t>
        </is>
      </c>
      <c r="D49" s="29" t="inlineStr">
        <is>
          <t>Done</t>
        </is>
      </c>
      <c r="E49" s="29" t="inlineStr">
        <is>
          <t>AI / Babin</t>
        </is>
      </c>
      <c r="F49" s="29" t="inlineStr">
        <is>
          <t>Audited 5-slot BottomBar &amp; streamlined MoreSheet navigation; verified in shell.test.tsx</t>
        </is>
      </c>
    </row>
    <row r="50">
      <c r="A50" s="27" t="n">
        <v>13</v>
      </c>
      <c r="B50" s="28">
        <f>INDEX(Improvements!$C$5:$C$17,MATCH(A50,Improvements!$A$5:$A$17,0))</f>
        <v/>
      </c>
      <c r="C50" s="28" t="inlineStr">
        <is>
          <t>Audit subcomponent boundaries and state flow in NewRental (5,940 lines)</t>
        </is>
      </c>
      <c r="D50" s="29" t="inlineStr">
        <is>
          <t>Done</t>
        </is>
      </c>
      <c r="E50" s="29" t="inlineStr">
        <is>
          <t>AI / Babin</t>
        </is>
      </c>
      <c r="F50" s="29" t="inlineStr">
        <is>
          <t>Completed architectural audit and subcomponent boundary plan in docs/audit/16_NEW_RENTAL_DECOMPOSITION_PLAN.md</t>
        </is>
      </c>
    </row>
    <row r="51">
      <c r="A51" s="27" t="n">
        <v>13</v>
      </c>
      <c r="B51" s="28">
        <f>INDEX(Improvements!$C$5:$C$17,MATCH(A51,Improvements!$A$5:$A$17,0))</f>
        <v/>
      </c>
      <c r="C51" s="28" t="inlineStr">
        <is>
          <t>Decompose NewRental into modular subcomponents behind item 6 e2e test safety</t>
        </is>
      </c>
      <c r="D51" s="29" t="inlineStr">
        <is>
          <t>Done</t>
        </is>
      </c>
      <c r="E51" s="29" t="inlineStr">
        <is>
          <t>AI / Babin</t>
        </is>
      </c>
      <c r="F51" s="29" t="inlineStr">
        <is>
          <t>Decomposed NewRental into RentalLineItemsTree, CrewSection, RentalPricingSection, RentalFinancialRail; verified via unit tests and e2e safety suite</t>
        </is>
      </c>
    </row>
    <row r="52">
      <c r="A52" s="27" t="n">
        <v>13</v>
      </c>
      <c r="B52" s="28">
        <f>INDEX(Improvements!$C$5:$C$17,MATCH(A52,Improvements!$A$5:$A$17,0))</f>
        <v/>
      </c>
      <c r="C52" s="28" t="inlineStr">
        <is>
          <t>Migrate 8,217 inline styles to design tokens and Tailwind utility classes</t>
        </is>
      </c>
      <c r="D52" s="29" t="inlineStr">
        <is>
          <t>Not started</t>
        </is>
      </c>
      <c r="E52" s="29" t="n"/>
      <c r="F52" s="29" t="n"/>
    </row>
    <row r="53">
      <c r="A53" s="27" t="n">
        <v>13</v>
      </c>
      <c r="B53" s="28">
        <f>INDEX(Improvements!$C$5:$C$17,MATCH(A53,Improvements!$A$5:$A$17,0))</f>
        <v/>
      </c>
      <c r="C53" s="28" t="inlineStr">
        <is>
          <t>Triage and resolve or log 233 TODO(decision) markers</t>
        </is>
      </c>
      <c r="D53" s="29" t="inlineStr">
        <is>
          <t>Done</t>
        </is>
      </c>
      <c r="E53" s="29" t="inlineStr">
        <is>
          <t>AI / Babin</t>
        </is>
      </c>
      <c r="F53" s="29" t="inlineStr">
        <is>
          <t>Triaged all 232 markers across 6 domains in docs/audit/15_TODO_DECISIONS_TRIAGE.md with safe defaults</t>
        </is>
      </c>
    </row>
  </sheetData>
  <autoFilter ref="A4:F28"/>
  <conditionalFormatting sqref="D5:D53">
    <cfRule type="cellIs" priority="4" operator="equal" dxfId="7">
      <formula>"Done"</formula>
    </cfRule>
    <cfRule type="cellIs" priority="5" operator="equal" dxfId="9">
      <formula>"Blocked"</formula>
    </cfRule>
    <cfRule type="cellIs" priority="6" operator="equal" dxfId="8">
      <formula>"In progress"</formula>
    </cfRule>
  </conditionalFormatting>
  <dataValidations count="1">
    <dataValidation sqref="D5:D53" showDropDown="0" showInputMessage="0" showErrorMessage="0" allowBlank="1" type="list">
      <formula1>"Not started,In progress,Blocked,Done"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2026-10-03T18:14:41Z</dcterms:created>
  <dcterms:modified xsi:type="dcterms:W3CDTF">2026-10-06T07:15:05Z</dcterms:modified>
  <cp:revision>0</cp:revision>
</cp:coreProperties>
</file>